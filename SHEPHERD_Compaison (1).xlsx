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epSharesUser1\Desktop\NewForce\capstone\"/>
    </mc:Choice>
  </mc:AlternateContent>
  <xr:revisionPtr revIDLastSave="0" documentId="8_{29B67D8F-C691-49DF-B14C-377B33A03F66}" xr6:coauthVersionLast="47" xr6:coauthVersionMax="47" xr10:uidLastSave="{00000000-0000-0000-0000-000000000000}"/>
  <bookViews>
    <workbookView xWindow="20370" yWindow="-120" windowWidth="29040" windowHeight="15720" xr2:uid="{4485C636-FA30-46EE-8B78-ECFD1675BC9E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5" i="1" l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B15" i="1"/>
  <c r="L11" i="1"/>
  <c r="H7" i="1"/>
  <c r="H6" i="1"/>
  <c r="H4" i="1"/>
  <c r="B11" i="1"/>
  <c r="B10" i="1"/>
  <c r="B7" i="1"/>
  <c r="B6" i="1"/>
</calcChain>
</file>

<file path=xl/sharedStrings.xml><?xml version="1.0" encoding="utf-8"?>
<sst xmlns="http://schemas.openxmlformats.org/spreadsheetml/2006/main" count="27" uniqueCount="27">
  <si>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</si>
  <si>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</si>
  <si>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</si>
  <si>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</si>
  <si>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</si>
  <si>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</si>
  <si>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</si>
  <si>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</si>
  <si>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</si>
  <si>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</si>
  <si>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</si>
  <si>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</si>
  <si>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FY25-26</t>
  </si>
  <si>
    <t>FY24-25</t>
  </si>
  <si>
    <t>FY23-24</t>
  </si>
  <si>
    <t>FY22-23</t>
  </si>
  <si>
    <t>FY21-22</t>
  </si>
  <si>
    <t>FY20-21</t>
  </si>
  <si>
    <t>FY18-19</t>
  </si>
  <si>
    <t>FY19-20</t>
  </si>
  <si>
    <t>FY17-18</t>
  </si>
  <si>
    <t>FY16-17</t>
  </si>
  <si>
    <t>FY15-16</t>
  </si>
  <si>
    <t>FY14-15</t>
  </si>
  <si>
    <t>FY13-14</t>
  </si>
  <si>
    <t>FY12-13</t>
  </si>
  <si>
    <t>FY11-12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</si>
</sst>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3" fontId="1" fillId="2" borderId="4" xfId="0" applyNumberFormat="1" applyFont="1" applyFill="1" applyBorder="1"/>
    <xf numFmtId="3" fontId="1" fillId="2" borderId="5" xfId="0" applyNumberFormat="1" applyFont="1" applyFill="1" applyBorder="1"/>
    <xf numFmtId="3" fontId="1" fillId="2" borderId="6" xfId="0" applyNumberFormat="1" applyFont="1" applyFill="1" applyBorder="1"/>
    <xf numFmtId="3" fontId="1" fillId="0" borderId="4" xfId="0" applyNumberFormat="1" applyFont="1" applyBorder="1"/>
    <xf numFmtId="3" fontId="1" fillId="0" borderId="5" xfId="0" applyNumberFormat="1" applyFont="1" applyBorder="1"/>
    <xf numFmtId="3" fontId="1" fillId="0" borderId="6" xfId="0" applyNumberFormat="1" applyFont="1" applyBorder="1"/>
    <xf numFmtId="3" fontId="1" fillId="2" borderId="7" xfId="0" applyNumberFormat="1" applyFont="1" applyFill="1" applyBorder="1"/>
    <xf numFmtId="3" fontId="1" fillId="2" borderId="8" xfId="0" applyNumberFormat="1" applyFont="1" applyFill="1" applyBorder="1"/>
    <xf numFmtId="3" fontId="1" fillId="2" borderId="9" xfId="0" applyNumberFormat="1" applyFont="1" applyFill="1" applyBorder="1"/>
    <xf numFmtId="3" fontId="1" fillId="2" borderId="10" xfId="0" applyNumberFormat="1" applyFont="1" applyFill="1" applyBorder="1"/>
    <xf numFmtId="3" fontId="1" fillId="2" borderId="11" xfId="0" applyNumberFormat="1" applyFont="1" applyFill="1" applyBorder="1"/>
    <xf numFmtId="3" fontId="1" fillId="2" borderId="12" xfId="0" applyNumberFormat="1" applyFont="1" applyFill="1" applyBorder="1"/>
    <xf numFmtId="3" fontId="1" fillId="2" borderId="13" xfId="0" applyNumberFormat="1" applyFont="1" applyFill="1" applyBorder="1"/>
    <xf numFmtId="3" fontId="1" fillId="2" borderId="14" xfId="0" applyNumberFormat="1" applyFont="1" applyFill="1" applyBorder="1"/>
    <xf numFmtId="3" fontId="1" fillId="2" borderId="15" xfId="0" applyNumberFormat="1" applyFont="1" applyFill="1" applyBorder="1"/>
    <xf numFmtId="3" fontId="1" fillId="2" borderId="16" xfId="0" applyNumberFormat="1" applyFont="1" applyFill="1" applyBorder="1"/>
    <xf numFmtId="3" fontId="1" fillId="2" borderId="17" xfId="0" applyNumberFormat="1" applyFont="1" applyFill="1" applyBorder="1"/>
    <xf numFmtId="3" fontId="1" fillId="2" borderId="18" xfId="0" applyNumberFormat="1" applyFont="1" applyFill="1" applyBorder="1"/>
    <xf numFmtId="3" fontId="1" fillId="2" borderId="19" xfId="0" applyNumberFormat="1" applyFont="1" applyFill="1" applyBorder="1"/>
    <xf numFmtId="3" fontId="1" fillId="2" borderId="20" xfId="0" applyNumberFormat="1" applyFont="1" applyFill="1" applyBorder="1"/>
    <xf numFmtId="3" fontId="1" fillId="2" borderId="21" xfId="0" applyNumberFormat="1" applyFont="1" applyFill="1" applyBorder="1"/>
    <xf numFmtId="3" fontId="1" fillId="2" borderId="22" xfId="0" applyNumberFormat="1" applyFont="1" applyFill="1" applyBorder="1"/>
    <xf numFmtId="3" fontId="1" fillId="2" borderId="23" xfId="0" applyNumberFormat="1" applyFont="1" applyFill="1" applyBorder="1"/>
    <xf numFmtId="3" fontId="0" fillId="0" borderId="24" xfId="0" applyNumberFormat="1" applyBorder="1"/>
    <xf numFmtId="3" fontId="0" fillId="0" borderId="8" xfId="0" applyNumberFormat="1" applyBorder="1"/>
    <xf numFmtId="3" fontId="0" fillId="0" borderId="25" xfId="0" applyNumberFormat="1" applyBorder="1"/>
    <xf numFmtId="3" fontId="1" fillId="2" borderId="24" xfId="0" applyNumberFormat="1" applyFont="1" applyFill="1" applyBorder="1"/>
    <xf numFmtId="3" fontId="1" fillId="2" borderId="25" xfId="0" applyNumberFormat="1" applyFont="1" applyFill="1" applyBorder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aily%20Trip%20Data%20FY2018\------OLD-Do%20Not%20Use--------\----Old%20Daily%20Trip%20Data----\FY2016%20Monthly%20data\9-Monthly%20March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d Morn"/>
      <sheetName val="Red Mid"/>
      <sheetName val="Red Eve"/>
      <sheetName val="Blue Morn"/>
      <sheetName val="Blue Eve"/>
      <sheetName val="OM"/>
      <sheetName val="OE"/>
      <sheetName val="Yellow Morn"/>
      <sheetName val="Yellow Eve"/>
      <sheetName val="Purple"/>
      <sheetName val="Relief"/>
      <sheetName val="Orange Exp."/>
      <sheetName val="Demand"/>
      <sheetName val="Contract"/>
      <sheetName val="DR 1&amp;2"/>
      <sheetName val="Holiday"/>
      <sheetName val="Total"/>
      <sheetName val="Sheet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6">
          <cell r="B16">
            <v>8350</v>
          </cell>
        </row>
        <row r="18">
          <cell r="B18">
            <v>2285</v>
          </cell>
        </row>
      </sheetData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00970-C192-49B4-A154-B2BE424167A0}">
  <dimension ref="A2:P15"/>
  <sheetViews>
    <sheetView tabSelected="1" workbookViewId="0">
      <selection activeCell="R18" sqref="R18"/>
    </sheetView>
  </sheetViews>
  <sheetFormatPr defaultRowHeight="15" x14ac:dyDescent="0.25"/>
  <cols>
    <col min="1" max="1" width="10.28515625" bestFit="1" customWidth="1"/>
  </cols>
  <sheetData>
    <row r="2" spans="1:16" ht="15.75" thickBot="1" x14ac:dyDescent="0.3"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19</v>
      </c>
      <c r="I2" t="s">
        <v>18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</row>
    <row r="3" spans="1:16" ht="15.75" thickTop="1" x14ac:dyDescent="0.25">
      <c r="A3" s="1" t="s">
        <v>0</v>
      </c>
      <c r="B3" s="4">
        <v>0</v>
      </c>
      <c r="C3" s="4">
        <v>0</v>
      </c>
      <c r="D3" s="4">
        <v>0</v>
      </c>
      <c r="E3" s="4"/>
      <c r="F3" s="4">
        <v>0</v>
      </c>
      <c r="G3" s="4">
        <v>0</v>
      </c>
      <c r="H3" s="20"/>
      <c r="I3" s="16">
        <v>0</v>
      </c>
      <c r="J3" s="16">
        <v>0</v>
      </c>
      <c r="K3" s="16">
        <v>0</v>
      </c>
      <c r="L3" s="16">
        <v>0</v>
      </c>
      <c r="M3" s="10">
        <v>0</v>
      </c>
      <c r="N3" s="4">
        <v>0</v>
      </c>
      <c r="O3" s="27">
        <v>0</v>
      </c>
      <c r="P3" s="30">
        <v>0</v>
      </c>
    </row>
    <row r="4" spans="1:16" x14ac:dyDescent="0.25">
      <c r="A4" s="2" t="s">
        <v>1</v>
      </c>
      <c r="B4" s="5">
        <v>993</v>
      </c>
      <c r="C4" s="5">
        <v>1067</v>
      </c>
      <c r="D4" s="5">
        <v>2088</v>
      </c>
      <c r="E4" s="5">
        <v>1593</v>
      </c>
      <c r="F4" s="5">
        <v>1510</v>
      </c>
      <c r="G4" s="5">
        <v>1629</v>
      </c>
      <c r="H4" s="21">
        <f>370+270+287</f>
        <v>927</v>
      </c>
      <c r="I4" s="17">
        <v>918</v>
      </c>
      <c r="J4" s="17">
        <v>782</v>
      </c>
      <c r="K4" s="17">
        <v>1140</v>
      </c>
      <c r="L4" s="17">
        <v>1116</v>
      </c>
      <c r="M4" s="11">
        <v>698</v>
      </c>
      <c r="N4" s="5">
        <v>750</v>
      </c>
      <c r="O4" s="28">
        <v>3543</v>
      </c>
      <c r="P4" s="11">
        <v>876</v>
      </c>
    </row>
    <row r="5" spans="1:16" ht="15.75" thickBot="1" x14ac:dyDescent="0.3">
      <c r="A5" s="3" t="s">
        <v>2</v>
      </c>
      <c r="B5" s="6">
        <v>4137</v>
      </c>
      <c r="C5" s="6">
        <v>4663</v>
      </c>
      <c r="D5" s="6">
        <v>4132</v>
      </c>
      <c r="E5" s="6">
        <v>3395</v>
      </c>
      <c r="F5" s="6">
        <v>4126</v>
      </c>
      <c r="G5" s="6">
        <v>5831</v>
      </c>
      <c r="H5" s="22">
        <v>4037</v>
      </c>
      <c r="I5" s="18">
        <v>3198</v>
      </c>
      <c r="J5" s="18">
        <v>3603</v>
      </c>
      <c r="K5" s="18">
        <v>2803</v>
      </c>
      <c r="L5" s="18">
        <v>2746</v>
      </c>
      <c r="M5" s="12">
        <v>2717</v>
      </c>
      <c r="N5" s="6">
        <v>2507</v>
      </c>
      <c r="O5" s="29">
        <v>11022</v>
      </c>
      <c r="P5" s="31">
        <v>2939</v>
      </c>
    </row>
    <row r="6" spans="1:16" ht="15.75" thickTop="1" x14ac:dyDescent="0.25">
      <c r="A6" s="1" t="s">
        <v>3</v>
      </c>
      <c r="B6" s="7">
        <f>1475+1637+1099</f>
        <v>4211</v>
      </c>
      <c r="C6" s="7">
        <v>4586</v>
      </c>
      <c r="D6" s="7">
        <v>4323</v>
      </c>
      <c r="E6" s="7">
        <v>4122</v>
      </c>
      <c r="F6" s="7">
        <v>3839</v>
      </c>
      <c r="G6" s="4">
        <v>6459</v>
      </c>
      <c r="H6" s="20">
        <f>1433+1067+1152</f>
        <v>3652</v>
      </c>
      <c r="I6" s="16">
        <v>3236</v>
      </c>
      <c r="J6" s="16">
        <v>3644</v>
      </c>
      <c r="K6" s="26">
        <v>2959</v>
      </c>
      <c r="L6" s="16">
        <v>2497</v>
      </c>
      <c r="M6" s="10">
        <v>2655</v>
      </c>
      <c r="N6" s="7">
        <v>2582</v>
      </c>
      <c r="O6" s="27">
        <v>10107</v>
      </c>
      <c r="P6" s="30">
        <v>2971</v>
      </c>
    </row>
    <row r="7" spans="1:16" x14ac:dyDescent="0.25">
      <c r="A7" s="2" t="s">
        <v>4</v>
      </c>
      <c r="B7" s="5">
        <f>1056+1186+685</f>
        <v>2927</v>
      </c>
      <c r="C7" s="5">
        <v>3579</v>
      </c>
      <c r="D7" s="8">
        <v>3414</v>
      </c>
      <c r="E7" s="5">
        <v>3556</v>
      </c>
      <c r="F7" s="5">
        <v>3588</v>
      </c>
      <c r="G7" s="5">
        <v>4544</v>
      </c>
      <c r="H7" s="21">
        <f>1190+852+854</f>
        <v>2896</v>
      </c>
      <c r="I7" s="17">
        <v>2720</v>
      </c>
      <c r="J7" s="17">
        <v>3128</v>
      </c>
      <c r="K7" s="21">
        <v>2421</v>
      </c>
      <c r="L7" s="17">
        <v>2058</v>
      </c>
      <c r="M7" s="13">
        <v>1973</v>
      </c>
      <c r="N7" s="5">
        <v>2009</v>
      </c>
      <c r="O7" s="28">
        <v>9629</v>
      </c>
      <c r="P7" s="13">
        <v>2659</v>
      </c>
    </row>
    <row r="8" spans="1:16" ht="15.75" thickBot="1" x14ac:dyDescent="0.3">
      <c r="A8" s="3" t="s">
        <v>5</v>
      </c>
      <c r="B8" s="6">
        <v>1924</v>
      </c>
      <c r="C8" s="6">
        <v>2186</v>
      </c>
      <c r="D8" s="9">
        <v>1251</v>
      </c>
      <c r="E8" s="6">
        <v>1383</v>
      </c>
      <c r="F8" s="6">
        <v>1586</v>
      </c>
      <c r="G8" s="6">
        <v>0</v>
      </c>
      <c r="H8" s="22">
        <v>1794</v>
      </c>
      <c r="I8" s="18">
        <v>1630</v>
      </c>
      <c r="J8" s="18">
        <v>1960</v>
      </c>
      <c r="K8" s="19">
        <v>1388</v>
      </c>
      <c r="L8" s="18">
        <v>1290</v>
      </c>
      <c r="M8" s="12">
        <v>1384</v>
      </c>
      <c r="N8" s="6">
        <v>1083</v>
      </c>
      <c r="O8" s="29">
        <v>3047</v>
      </c>
      <c r="P8" s="31">
        <v>1488</v>
      </c>
    </row>
    <row r="9" spans="1:16" ht="15.75" thickTop="1" x14ac:dyDescent="0.25">
      <c r="A9" s="1" t="s">
        <v>6</v>
      </c>
      <c r="B9" s="4">
        <v>2073</v>
      </c>
      <c r="C9" s="4">
        <v>2974</v>
      </c>
      <c r="D9" s="7">
        <v>3065</v>
      </c>
      <c r="E9" s="4">
        <v>3429</v>
      </c>
      <c r="F9" s="4">
        <v>2803</v>
      </c>
      <c r="G9" s="4">
        <v>1981</v>
      </c>
      <c r="H9" s="20">
        <v>3132</v>
      </c>
      <c r="I9" s="16">
        <v>2146</v>
      </c>
      <c r="J9" s="16">
        <v>3023</v>
      </c>
      <c r="K9" s="14">
        <v>2599</v>
      </c>
      <c r="L9" s="16">
        <v>1316</v>
      </c>
      <c r="M9" s="10">
        <v>1562</v>
      </c>
      <c r="N9" s="4">
        <v>1579</v>
      </c>
      <c r="O9" s="27">
        <v>11254</v>
      </c>
      <c r="P9" s="30">
        <v>2315</v>
      </c>
    </row>
    <row r="10" spans="1:16" x14ac:dyDescent="0.25">
      <c r="A10" s="2" t="s">
        <v>7</v>
      </c>
      <c r="B10" s="5">
        <f>1435+1462+1010</f>
        <v>3907</v>
      </c>
      <c r="C10" s="5">
        <v>3997</v>
      </c>
      <c r="D10" s="8">
        <v>4882</v>
      </c>
      <c r="E10" s="5">
        <v>3946</v>
      </c>
      <c r="F10" s="5">
        <v>4173</v>
      </c>
      <c r="G10" s="5">
        <v>3316</v>
      </c>
      <c r="H10" s="21">
        <v>3571</v>
      </c>
      <c r="I10" s="17">
        <v>3113</v>
      </c>
      <c r="J10" s="17">
        <v>3601</v>
      </c>
      <c r="K10" s="15">
        <v>3579</v>
      </c>
      <c r="L10" s="17">
        <v>2573</v>
      </c>
      <c r="M10" s="11">
        <v>1952</v>
      </c>
      <c r="N10" s="5">
        <v>2108</v>
      </c>
      <c r="O10" s="28">
        <v>14323</v>
      </c>
      <c r="P10" s="11">
        <v>2392</v>
      </c>
    </row>
    <row r="11" spans="1:16" ht="15.75" thickBot="1" x14ac:dyDescent="0.3">
      <c r="A11" s="3" t="s">
        <v>8</v>
      </c>
      <c r="B11" s="6">
        <f>1230+1247+846</f>
        <v>3323</v>
      </c>
      <c r="C11" s="6">
        <v>3372</v>
      </c>
      <c r="D11" s="9">
        <v>3379</v>
      </c>
      <c r="E11" s="6">
        <v>3739</v>
      </c>
      <c r="F11" s="6">
        <v>3807</v>
      </c>
      <c r="G11" s="6">
        <v>4620</v>
      </c>
      <c r="H11" s="22">
        <v>1747</v>
      </c>
      <c r="I11" s="18">
        <v>2707</v>
      </c>
      <c r="J11" s="18">
        <v>2840</v>
      </c>
      <c r="K11" s="19">
        <v>2739</v>
      </c>
      <c r="L11" s="18">
        <f>[1]Total!$B$18</f>
        <v>2285</v>
      </c>
      <c r="M11" s="12">
        <v>1562</v>
      </c>
      <c r="N11" s="6">
        <v>1850</v>
      </c>
      <c r="O11" s="29">
        <v>10601</v>
      </c>
      <c r="P11" s="31">
        <v>1862</v>
      </c>
    </row>
    <row r="12" spans="1:16" ht="15.75" thickTop="1" x14ac:dyDescent="0.25">
      <c r="A12" s="1" t="s">
        <v>9</v>
      </c>
      <c r="B12" s="4">
        <v>0</v>
      </c>
      <c r="C12" s="4">
        <v>4534</v>
      </c>
      <c r="D12" s="4">
        <v>4219</v>
      </c>
      <c r="E12" s="4">
        <v>4003</v>
      </c>
      <c r="F12" s="4">
        <v>4392</v>
      </c>
      <c r="G12" s="4">
        <v>4612</v>
      </c>
      <c r="H12" s="16">
        <v>0</v>
      </c>
      <c r="I12" s="23">
        <v>4014</v>
      </c>
      <c r="J12" s="16">
        <v>4057</v>
      </c>
      <c r="K12" s="14">
        <v>2500</v>
      </c>
      <c r="L12" s="16">
        <v>2829</v>
      </c>
      <c r="M12" s="10">
        <v>3036</v>
      </c>
      <c r="N12" s="4">
        <v>2698</v>
      </c>
      <c r="O12" s="27">
        <v>8480</v>
      </c>
      <c r="P12" s="30">
        <v>2569</v>
      </c>
    </row>
    <row r="13" spans="1:16" x14ac:dyDescent="0.25">
      <c r="A13" s="2" t="s">
        <v>10</v>
      </c>
      <c r="B13" s="5">
        <v>0</v>
      </c>
      <c r="C13" s="5">
        <v>348</v>
      </c>
      <c r="D13" s="5">
        <v>0</v>
      </c>
      <c r="E13" s="5">
        <v>0</v>
      </c>
      <c r="F13" s="5">
        <v>0</v>
      </c>
      <c r="G13" s="5">
        <v>0</v>
      </c>
      <c r="H13" s="17">
        <v>0</v>
      </c>
      <c r="I13" s="24">
        <v>562</v>
      </c>
      <c r="J13" s="17">
        <v>259</v>
      </c>
      <c r="K13" s="15">
        <v>0</v>
      </c>
      <c r="L13" s="17">
        <v>0</v>
      </c>
      <c r="M13" s="11">
        <v>115</v>
      </c>
      <c r="N13" s="5">
        <v>136</v>
      </c>
      <c r="O13" s="28">
        <v>0</v>
      </c>
      <c r="P13" s="11">
        <v>0</v>
      </c>
    </row>
    <row r="14" spans="1:16" ht="15.75" thickBot="1" x14ac:dyDescent="0.3">
      <c r="A14" s="3" t="s">
        <v>11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18">
        <v>0</v>
      </c>
      <c r="I14" s="25">
        <v>0</v>
      </c>
      <c r="J14" s="18">
        <v>157</v>
      </c>
      <c r="K14" s="19">
        <v>0</v>
      </c>
      <c r="L14" s="18">
        <v>0</v>
      </c>
      <c r="M14" s="12">
        <v>338</v>
      </c>
      <c r="N14" s="6">
        <v>0</v>
      </c>
      <c r="O14" s="29">
        <v>0</v>
      </c>
      <c r="P14" s="31">
        <v>0</v>
      </c>
    </row>
    <row r="15" spans="1:16" x14ac:dyDescent="0.25">
      <c r="B15" s="32">
        <f>SUM(B3:B14)</f>
        <v>23495</v>
      </c>
      <c r="C15" s="32">
        <f t="shared" ref="C15:P15" si="0">SUM(C3:C14)</f>
        <v>31306</v>
      </c>
      <c r="D15" s="32">
        <f t="shared" si="0"/>
        <v>30753</v>
      </c>
      <c r="E15" s="32">
        <f t="shared" si="0"/>
        <v>29166</v>
      </c>
      <c r="F15" s="32">
        <f t="shared" si="0"/>
        <v>29824</v>
      </c>
      <c r="G15" s="32">
        <f t="shared" si="0"/>
        <v>32992</v>
      </c>
      <c r="H15" s="32">
        <f t="shared" si="0"/>
        <v>21756</v>
      </c>
      <c r="I15" s="32">
        <f t="shared" si="0"/>
        <v>24244</v>
      </c>
      <c r="J15" s="32">
        <f t="shared" si="0"/>
        <v>27054</v>
      </c>
      <c r="K15" s="32">
        <f t="shared" si="0"/>
        <v>22128</v>
      </c>
      <c r="L15" s="32">
        <f t="shared" si="0"/>
        <v>18710</v>
      </c>
      <c r="M15" s="32">
        <f t="shared" si="0"/>
        <v>17992</v>
      </c>
      <c r="N15" s="32">
        <f t="shared" si="0"/>
        <v>17302</v>
      </c>
      <c r="O15" s="32">
        <f t="shared" si="0"/>
        <v>82006</v>
      </c>
      <c r="P15" s="32">
        <f t="shared" si="0"/>
        <v>20071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Elaine Bartoldson</dc:creator>
  <cp:lastModifiedBy>John D Meeker</cp:lastModifiedBy>
  <dcterms:created xsi:type="dcterms:W3CDTF">2026-05-06T18:23:38Z</dcterms:created>
  <dcterms:modified xsi:type="dcterms:W3CDTF">2026-05-08T19:48:14Z</dcterms:modified>
</cp:coreProperties>
</file>